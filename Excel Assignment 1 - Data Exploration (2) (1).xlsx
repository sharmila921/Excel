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 activeTab="1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K1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<sst xmlns="http://schemas.openxmlformats.org/spreadsheetml/2006/main" count="175" uniqueCount="126">
  <si>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</si>
  <si>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</si>
  <si>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</si>
  <si>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</si>
  <si>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</si>
  <si>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</si>
  <si>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</si>
  <si>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</si>
  <si>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</si>
  <si>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</si>
  <si>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</si>
  <si>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</si>
  <si>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</si>
  <si>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</si>
  <si>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</si>
  <si>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</si>
  <si>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</si>
  <si>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</si>
  <si>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</si>
  <si>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</si>
  <si>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</si>
  <si>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</si>
  <si>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</si>
  <si>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 xml:space="preserve">Total price product </t>
  </si>
  <si>
    <t>product Day</t>
  </si>
  <si>
    <t>country code</t>
  </si>
  <si>
    <t>Month</t>
  </si>
  <si>
    <t>Column1</t>
  </si>
  <si>
    <t>Column2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</si>
  <si>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</si>
  <si>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</si>
  <si>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</si>
  <si>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</si>
  <si>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</si>
  <si>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</si>
  <si>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</si>
  <si>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</si>
  <si>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</si>
  <si>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</si>
  <si>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</si>
  <si>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</si>
  <si>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</si>
  <si>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</si>
  <si>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</si>
  <si>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</si>
  <si>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</si>
  <si>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</si>
  <si>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</si>
  <si>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</si>
  <si>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</si>
  <si>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</si>
  <si>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</si>
  <si>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</si>
  <si>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</si>
  <si>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</si>
  <si>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</si>
  <si>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</si>
  <si>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</si>
  <si>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</si>
  <si>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</si>
  <si>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</si>
  <si>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</si>
  <si>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</si>
  <si>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</si>
  <si>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</si>
  <si>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</si>
  <si>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</si>
  <si>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</si>
  <si>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</si>
  <si>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</si>
  <si>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</si>
  <si>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</si>
  <si>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</si>
  <si>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</si>
  <si>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</si>
  <si>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</si>
  <si>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</si>
  <si>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</si>
  <si>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</si>
  <si>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</si>
  <si>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</si>
  <si>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</si>
  <si>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</si>
  <si>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</si>
  <si>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</si>
  <si>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</si>
  <si>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</si>
  <si>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</si>
  <si>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</si>
  <si>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</si>
  <si>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</si>
  <si>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</si>
  <si>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</si>
  <si>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</si>
  <si>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</si>
  <si>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</si>
  <si>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</si>
  <si>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</si>
  <si>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</si>
  <si>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</si>
  <si>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</si>
  <si>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</si>
  <si>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</si>
  <si>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</si>
  <si>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</si>
  <si>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</si>
  <si>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</si>
  <si>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</si>
  <si>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</si>
  <si>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</si>
  <si>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</si>
  <si>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</si>
  <si>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</si>
  <si>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</si>
  <si>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</si>
  <si>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</si>
  <si>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Sumif</t>
  </si>
  <si>
    <t>total</t>
  </si>
  <si>
    <t>result</t>
  </si>
  <si>
    <t>Countif</t>
  </si>
  <si>
    <t>sum</t>
  </si>
  <si>
    <t>average</t>
  </si>
  <si>
    <t>count</t>
  </si>
  <si>
    <t>min</t>
  </si>
  <si>
    <t>max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</si>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</sst>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9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/>
    <xf numFmtId="0" fontId="3" fillId="0" borderId="0" xfId="0" applyFont="1"/>
    <xf numFmtId="0" fontId="3" fillId="4" borderId="0" xfId="0" applyFont="1" applyFill="1"/>
    <xf numFmtId="0" fontId="4" fillId="3" borderId="1" xfId="0" applyFont="1" applyFill="1" applyBorder="1" applyAlignment="1"/>
    <xf numFmtId="0" fontId="0" fillId="0" borderId="1" xfId="0" applyFont="1" applyBorder="1" applyAlignment="1"/>
    <xf numFmtId="0" fontId="4" fillId="0" borderId="0" xfId="0" applyFont="1" applyAlignment="1"/>
    <xf numFmtId="0" fontId="0" fillId="0" borderId="0" xfId="0" applyNumberFormat="1" applyFont="1" applyAlignment="1"/>
    <xf numFmtId="0" fontId="4" fillId="0" borderId="2" xfId="0" applyFont="1" applyBorder="1" applyAlignme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name val="Arial"/>
        <scheme val="none"/>
        <charset val="134"/>
        <family val="0"/>
        <b val="1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E40:F46" totalsRowShown="0">
  <autoFilter xmlns:etc="http://www.wps.cn/officeDocument/2017/etCustomData" ref="E40:F46" etc:filterBottomFollowUsedRange="0"/>
  <tableColumns count="2">
    <tableColumn id="1" name="total" dataDxfId="0"/>
    <tableColumn id="2" name="result" dataDxfId="1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35" totalsRowShown="0">
  <autoFilter xmlns:etc="http://www.wps.cn/officeDocument/2017/etCustomData" ref="A1:L35" etc:filterBottomFollowUsedRange="0"/>
  <tableColumns count="12">
    <tableColumn id="1" name="Product ID" dataDxfId="2"/>
    <tableColumn id="2" name="Product Name" dataDxfId="3"/>
    <tableColumn id="3" name="Brand Name" dataDxfId="4"/>
    <tableColumn id="4" name="Price ($)" dataDxfId="5"/>
    <tableColumn id="5" name="Quantity" dataDxfId="6"/>
    <tableColumn id="6" name="Category" dataDxfId="7"/>
    <tableColumn id="7" name="Total price product " dataDxfId="8">
      <calculatedColumnFormula>IF(D2&gt;=500,"High price","Standard price")</calculatedColumnFormula>
    </tableColumn>
    <tableColumn id="8" name="product Day" dataDxfId="9">
      <calculatedColumnFormula>LEFT(A2,2)</calculatedColumnFormula>
    </tableColumn>
    <tableColumn id="9" name="country code" dataDxfId="10">
      <calculatedColumnFormula>RIGHT(A2,2)</calculatedColumnFormula>
    </tableColumn>
    <tableColumn id="10" name="Month" dataDxfId="11">
      <calculatedColumnFormula>MID(A2,4,3)</calculatedColumnFormula>
    </tableColumn>
    <tableColumn id="11" name="Column1" dataDxfId="12"/>
    <tableColumn id="12" name="Column2" dataDxfId="1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.xml"/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workbookViewId="0">
      <selection activeCell="A1" sqref="A1"/>
    </sheetView>
  </sheetViews>
  <sheetFormatPr defaultColWidth="12.6272727272727" defaultRowHeight="15" customHeight="1" outlineLevelCol="2"/>
  <cols>
    <col min="1" max="1" width="12.6272727272727" customWidth="1"/>
    <col min="2" max="2" width="7.5" customWidth="1"/>
    <col min="3" max="6" width="12.6272727272727" customWidth="1"/>
  </cols>
  <sheetData>
    <row r="1" ht="15.75" customHeight="1" spans="1:1">
      <c r="A1" s="11" t="s">
        <v>0</v>
      </c>
    </row>
    <row r="2" ht="15.75" customHeight="1"/>
    <row r="3" ht="15.75" customHeight="1" spans="2:2">
      <c r="B3" s="12" t="s">
        <v>1</v>
      </c>
    </row>
    <row r="4" ht="15.75" customHeight="1" spans="2:3">
      <c r="B4" s="12"/>
      <c r="C4" s="13" t="s">
        <v>2</v>
      </c>
    </row>
    <row r="5" ht="15.75" customHeight="1" spans="2:3">
      <c r="B5" s="12"/>
      <c r="C5" s="13" t="s">
        <v>3</v>
      </c>
    </row>
    <row r="6" ht="15.75" customHeight="1" spans="2:3">
      <c r="B6" s="12"/>
      <c r="C6" s="13" t="s">
        <v>4</v>
      </c>
    </row>
    <row r="7" ht="15.75" customHeight="1" spans="2:2">
      <c r="B7" s="14"/>
    </row>
    <row r="8" ht="15.75" customHeight="1" spans="2:2">
      <c r="B8" s="12" t="s">
        <v>5</v>
      </c>
    </row>
    <row r="9" ht="15.75" customHeight="1" spans="3:3">
      <c r="C9" s="13" t="s">
        <v>6</v>
      </c>
    </row>
    <row r="10" ht="15.75" customHeight="1" spans="3:3">
      <c r="C10" s="13" t="s">
        <v>7</v>
      </c>
    </row>
    <row r="11" ht="15.75" customHeight="1" spans="2:2">
      <c r="B11" s="14"/>
    </row>
    <row r="12" ht="15.75" customHeight="1" spans="2:2">
      <c r="B12" s="12" t="s">
        <v>8</v>
      </c>
    </row>
    <row r="13" ht="15.75" customHeight="1" spans="3:3">
      <c r="C13" s="13" t="s">
        <v>9</v>
      </c>
    </row>
    <row r="14" ht="15.75" customHeight="1" spans="2:2">
      <c r="B14" s="14"/>
    </row>
    <row r="15" ht="15.75" customHeight="1" spans="2:2">
      <c r="B15" s="12" t="s">
        <v>10</v>
      </c>
    </row>
    <row r="16" ht="15.75" customHeight="1" spans="3:3">
      <c r="C16" s="13" t="s">
        <v>11</v>
      </c>
    </row>
    <row r="17" ht="15.75" customHeight="1" spans="3:3">
      <c r="C17" s="13" t="s">
        <v>12</v>
      </c>
    </row>
    <row r="18" ht="15.75" customHeight="1" spans="2:2">
      <c r="B18" s="14"/>
    </row>
    <row r="19" ht="15.75" customHeight="1" spans="2:2">
      <c r="B19" s="12" t="s">
        <v>13</v>
      </c>
    </row>
    <row r="20" ht="15.75" customHeight="1" spans="3:3">
      <c r="C20" s="13" t="s">
        <v>14</v>
      </c>
    </row>
    <row r="21" ht="15.75" customHeight="1" spans="3:3">
      <c r="C21" s="13" t="s">
        <v>15</v>
      </c>
    </row>
    <row r="22" ht="15.75" customHeight="1" spans="3:3">
      <c r="C22" s="13" t="s">
        <v>16</v>
      </c>
    </row>
    <row r="23" ht="15.75" customHeight="1" spans="2:2">
      <c r="B23" s="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00"/>
  <sheetViews>
    <sheetView tabSelected="1" topLeftCell="B1" workbookViewId="0">
      <selection activeCell="M6" sqref="M6"/>
    </sheetView>
  </sheetViews>
  <sheetFormatPr defaultColWidth="12.6272727272727" defaultRowHeight="15" customHeight="1"/>
  <cols>
    <col min="1" max="1" width="12.6272727272727" customWidth="1"/>
    <col min="2" max="2" width="14.1272727272727" customWidth="1"/>
    <col min="3" max="6" width="12.6272727272727" customWidth="1"/>
    <col min="7" max="7" width="14.9090909090909" customWidth="1"/>
    <col min="9" max="9" width="12.8181818181818"/>
    <col min="12" max="12" width="12.8181818181818"/>
  </cols>
  <sheetData>
    <row r="1" ht="15.75" customHeight="1" spans="1:1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 t="s">
        <v>23</v>
      </c>
      <c r="H1" s="3" t="s">
        <v>24</v>
      </c>
      <c r="I1" s="3" t="s">
        <v>25</v>
      </c>
      <c r="J1" s="3" t="s">
        <v>26</v>
      </c>
      <c r="K1" t="s">
        <v>27</v>
      </c>
      <c r="L1" t="s">
        <v>28</v>
      </c>
    </row>
    <row r="2" ht="15.75" customHeight="1" spans="1:10">
      <c r="A2" s="4" t="s">
        <v>29</v>
      </c>
      <c r="B2" s="4" t="s">
        <v>30</v>
      </c>
      <c r="C2" s="4" t="s">
        <v>31</v>
      </c>
      <c r="D2" s="4">
        <v>1000</v>
      </c>
      <c r="E2" s="4">
        <v>30</v>
      </c>
      <c r="F2" s="4" t="s">
        <v>32</v>
      </c>
      <c r="G2" s="4" t="str">
        <f t="shared" ref="G2:G35" si="0">IF(D2&gt;=500,"High price","Standard price")</f>
        <v>High price</v>
      </c>
      <c r="H2" t="str">
        <f t="shared" ref="H2:H35" si="1">LEFT(A2,2)</f>
        <v>28</v>
      </c>
      <c r="I2" t="str">
        <f t="shared" ref="I2:I35" si="2">RIGHT(A2,2)</f>
        <v>US</v>
      </c>
      <c r="J2" t="str">
        <f t="shared" ref="J2:J35" si="3">MID(A2,4,3)</f>
        <v>JAN</v>
      </c>
    </row>
    <row r="3" ht="15.75" customHeight="1" spans="1:10">
      <c r="A3" s="5" t="s">
        <v>33</v>
      </c>
      <c r="B3" s="5" t="s">
        <v>34</v>
      </c>
      <c r="C3" s="5" t="s">
        <v>35</v>
      </c>
      <c r="D3" s="5">
        <v>80</v>
      </c>
      <c r="E3" s="5">
        <v>15</v>
      </c>
      <c r="F3" s="5" t="s">
        <v>36</v>
      </c>
      <c r="G3" s="4" t="str">
        <f t="shared" si="0"/>
        <v>Standard price</v>
      </c>
      <c r="H3" t="str">
        <f t="shared" si="1"/>
        <v>15</v>
      </c>
      <c r="I3" t="str">
        <f t="shared" si="2"/>
        <v>US</v>
      </c>
      <c r="J3" t="str">
        <f t="shared" si="3"/>
        <v>FEB</v>
      </c>
    </row>
    <row r="4" ht="15.75" customHeight="1" spans="1:10">
      <c r="A4" s="4" t="s">
        <v>37</v>
      </c>
      <c r="B4" s="4" t="s">
        <v>38</v>
      </c>
      <c r="C4" s="4" t="s">
        <v>39</v>
      </c>
      <c r="D4" s="4">
        <v>130</v>
      </c>
      <c r="E4" s="4">
        <v>40</v>
      </c>
      <c r="F4" s="4" t="s">
        <v>40</v>
      </c>
      <c r="G4" s="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ht="15.75" customHeight="1" spans="1:10">
      <c r="A5" s="5" t="s">
        <v>41</v>
      </c>
      <c r="B5" s="5" t="s">
        <v>42</v>
      </c>
      <c r="C5" s="5" t="s">
        <v>43</v>
      </c>
      <c r="D5" s="5">
        <v>900</v>
      </c>
      <c r="E5" s="5">
        <v>25</v>
      </c>
      <c r="F5" s="5" t="s">
        <v>32</v>
      </c>
      <c r="G5" s="4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ht="15.75" customHeight="1" spans="1:10">
      <c r="A6" s="4" t="s">
        <v>44</v>
      </c>
      <c r="B6" s="4" t="s">
        <v>45</v>
      </c>
      <c r="C6" s="4" t="s">
        <v>46</v>
      </c>
      <c r="D6" s="4">
        <v>70</v>
      </c>
      <c r="E6" s="4">
        <v>20</v>
      </c>
      <c r="F6" s="4" t="s">
        <v>47</v>
      </c>
      <c r="G6" s="4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ht="15.75" customHeight="1" spans="1:10">
      <c r="A7" s="5" t="s">
        <v>48</v>
      </c>
      <c r="B7" s="5" t="s">
        <v>49</v>
      </c>
      <c r="C7" s="5" t="s">
        <v>50</v>
      </c>
      <c r="D7" s="5">
        <v>200</v>
      </c>
      <c r="E7" s="5">
        <v>45</v>
      </c>
      <c r="F7" s="5" t="s">
        <v>32</v>
      </c>
      <c r="G7" s="4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ht="15.75" customHeight="1" spans="1:10">
      <c r="A8" s="4" t="s">
        <v>51</v>
      </c>
      <c r="B8" s="4" t="s">
        <v>52</v>
      </c>
      <c r="C8" s="4" t="s">
        <v>53</v>
      </c>
      <c r="D8" s="4">
        <v>30</v>
      </c>
      <c r="E8" s="4">
        <v>5</v>
      </c>
      <c r="F8" s="4" t="s">
        <v>36</v>
      </c>
      <c r="G8" s="4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ht="15.75" customHeight="1" spans="1:10">
      <c r="A9" s="5" t="s">
        <v>54</v>
      </c>
      <c r="B9" s="5" t="s">
        <v>55</v>
      </c>
      <c r="C9" s="5" t="s">
        <v>56</v>
      </c>
      <c r="D9" s="5">
        <v>90</v>
      </c>
      <c r="E9" s="5">
        <v>35</v>
      </c>
      <c r="F9" s="5" t="s">
        <v>40</v>
      </c>
      <c r="G9" s="4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ht="15.75" customHeight="1" spans="1:10">
      <c r="A10" s="4" t="s">
        <v>57</v>
      </c>
      <c r="B10" s="4" t="s">
        <v>58</v>
      </c>
      <c r="C10" s="4" t="s">
        <v>59</v>
      </c>
      <c r="D10" s="4">
        <v>500</v>
      </c>
      <c r="E10" s="4">
        <v>50</v>
      </c>
      <c r="F10" s="4" t="s">
        <v>32</v>
      </c>
      <c r="G10" s="4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ht="15.75" customHeight="1" spans="1:10">
      <c r="A11" s="5" t="s">
        <v>60</v>
      </c>
      <c r="B11" s="5" t="s">
        <v>61</v>
      </c>
      <c r="C11" s="5" t="s">
        <v>62</v>
      </c>
      <c r="D11" s="5">
        <v>130</v>
      </c>
      <c r="E11" s="5">
        <v>10</v>
      </c>
      <c r="F11" s="5" t="s">
        <v>47</v>
      </c>
      <c r="G11" s="4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ht="15.75" customHeight="1" spans="1:10">
      <c r="A12" s="4" t="s">
        <v>63</v>
      </c>
      <c r="B12" s="4" t="s">
        <v>30</v>
      </c>
      <c r="C12" s="4" t="s">
        <v>64</v>
      </c>
      <c r="D12" s="4">
        <v>950</v>
      </c>
      <c r="E12" s="4">
        <v>25</v>
      </c>
      <c r="F12" s="4" t="s">
        <v>32</v>
      </c>
      <c r="G12" s="4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ht="15.75" customHeight="1" spans="1:10">
      <c r="A13" s="5" t="s">
        <v>65</v>
      </c>
      <c r="B13" s="5" t="s">
        <v>34</v>
      </c>
      <c r="C13" s="5" t="s">
        <v>53</v>
      </c>
      <c r="D13" s="5">
        <v>90</v>
      </c>
      <c r="E13" s="5">
        <v>40</v>
      </c>
      <c r="F13" s="5" t="s">
        <v>36</v>
      </c>
      <c r="G13" s="4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ht="15.75" customHeight="1" spans="1:10">
      <c r="A14" s="4" t="s">
        <v>66</v>
      </c>
      <c r="B14" s="4" t="s">
        <v>38</v>
      </c>
      <c r="C14" s="4" t="s">
        <v>67</v>
      </c>
      <c r="D14" s="4">
        <v>120</v>
      </c>
      <c r="E14" s="4">
        <v>35</v>
      </c>
      <c r="F14" s="4" t="s">
        <v>40</v>
      </c>
      <c r="G14" s="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ht="15.75" customHeight="1" spans="1:10">
      <c r="A15" s="5" t="s">
        <v>68</v>
      </c>
      <c r="B15" s="5" t="s">
        <v>69</v>
      </c>
      <c r="C15" s="5" t="s">
        <v>70</v>
      </c>
      <c r="D15" s="5">
        <v>150</v>
      </c>
      <c r="E15" s="5">
        <v>15</v>
      </c>
      <c r="F15" s="5" t="s">
        <v>32</v>
      </c>
      <c r="G15" s="4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ht="15.75" customHeight="1" spans="1:10">
      <c r="A16" s="4" t="s">
        <v>71</v>
      </c>
      <c r="B16" s="4" t="s">
        <v>49</v>
      </c>
      <c r="C16" s="4" t="s">
        <v>72</v>
      </c>
      <c r="D16" s="4">
        <v>250</v>
      </c>
      <c r="E16" s="4">
        <v>20</v>
      </c>
      <c r="F16" s="4" t="s">
        <v>32</v>
      </c>
      <c r="G16" s="4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ht="15.75" customHeight="1" spans="1:10">
      <c r="A17" s="5" t="s">
        <v>73</v>
      </c>
      <c r="B17" s="5" t="s">
        <v>74</v>
      </c>
      <c r="C17" s="5" t="s">
        <v>75</v>
      </c>
      <c r="D17" s="5">
        <v>50</v>
      </c>
      <c r="E17" s="5">
        <v>35</v>
      </c>
      <c r="F17" s="5" t="s">
        <v>76</v>
      </c>
      <c r="G17" s="4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ht="15.75" customHeight="1" spans="1:11">
      <c r="A18" s="4" t="s">
        <v>77</v>
      </c>
      <c r="B18" s="4" t="s">
        <v>69</v>
      </c>
      <c r="C18" s="4" t="s">
        <v>78</v>
      </c>
      <c r="D18" s="4">
        <v>160</v>
      </c>
      <c r="E18" s="4">
        <v>15</v>
      </c>
      <c r="F18" s="4" t="s">
        <v>32</v>
      </c>
      <c r="G18" s="4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  <c r="K18"/>
    </row>
    <row r="19" ht="15.75" customHeight="1" spans="1:10">
      <c r="A19" s="5" t="s">
        <v>79</v>
      </c>
      <c r="B19" s="5" t="s">
        <v>30</v>
      </c>
      <c r="C19" s="5" t="s">
        <v>80</v>
      </c>
      <c r="D19" s="5">
        <v>980</v>
      </c>
      <c r="E19" s="5">
        <v>10</v>
      </c>
      <c r="F19" s="5" t="s">
        <v>32</v>
      </c>
      <c r="G19" s="4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ht="15.75" customHeight="1" spans="1:10">
      <c r="A20" s="4" t="s">
        <v>81</v>
      </c>
      <c r="B20" s="4" t="s">
        <v>82</v>
      </c>
      <c r="C20" s="4" t="s">
        <v>83</v>
      </c>
      <c r="D20" s="4">
        <v>150</v>
      </c>
      <c r="E20" s="4">
        <v>15</v>
      </c>
      <c r="F20" s="4" t="s">
        <v>36</v>
      </c>
      <c r="G20" s="4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ht="15.75" customHeight="1" spans="1:10">
      <c r="A21" s="5" t="s">
        <v>84</v>
      </c>
      <c r="B21" s="5" t="s">
        <v>85</v>
      </c>
      <c r="C21" s="5" t="s">
        <v>86</v>
      </c>
      <c r="D21" s="5">
        <v>200</v>
      </c>
      <c r="E21" s="5">
        <v>10</v>
      </c>
      <c r="F21" s="5" t="s">
        <v>47</v>
      </c>
      <c r="G21" s="4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ht="15.75" customHeight="1" spans="1:10">
      <c r="A22" s="4" t="s">
        <v>87</v>
      </c>
      <c r="B22" s="4" t="s">
        <v>88</v>
      </c>
      <c r="C22" s="4" t="s">
        <v>89</v>
      </c>
      <c r="D22" s="4">
        <v>700</v>
      </c>
      <c r="E22" s="4">
        <v>50</v>
      </c>
      <c r="F22" s="4" t="s">
        <v>32</v>
      </c>
      <c r="G22" s="4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ht="15.75" customHeight="1" spans="1:10">
      <c r="A23" s="5" t="s">
        <v>90</v>
      </c>
      <c r="B23" s="5" t="s">
        <v>91</v>
      </c>
      <c r="C23" s="5" t="s">
        <v>92</v>
      </c>
      <c r="D23" s="5">
        <v>80</v>
      </c>
      <c r="E23" s="5">
        <v>20</v>
      </c>
      <c r="F23" s="5" t="s">
        <v>40</v>
      </c>
      <c r="G23" s="4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ht="15.75" customHeight="1" spans="1:10">
      <c r="A24" s="4" t="s">
        <v>93</v>
      </c>
      <c r="B24" s="4" t="s">
        <v>94</v>
      </c>
      <c r="C24" s="4" t="s">
        <v>95</v>
      </c>
      <c r="D24" s="4">
        <v>150</v>
      </c>
      <c r="E24" s="4">
        <v>30</v>
      </c>
      <c r="F24" s="4" t="s">
        <v>32</v>
      </c>
      <c r="G24" s="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ht="15.75" customHeight="1" spans="1:10">
      <c r="A25" s="5" t="s">
        <v>73</v>
      </c>
      <c r="B25" s="5" t="s">
        <v>74</v>
      </c>
      <c r="C25" s="5" t="s">
        <v>75</v>
      </c>
      <c r="D25" s="5">
        <v>50</v>
      </c>
      <c r="E25" s="5">
        <v>35</v>
      </c>
      <c r="F25" s="5" t="s">
        <v>76</v>
      </c>
      <c r="G25" s="4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ht="15.75" customHeight="1" spans="1:10">
      <c r="A26" s="4" t="s">
        <v>96</v>
      </c>
      <c r="B26" s="4" t="s">
        <v>42</v>
      </c>
      <c r="C26" s="4" t="s">
        <v>97</v>
      </c>
      <c r="D26" s="4">
        <v>800</v>
      </c>
      <c r="E26" s="4">
        <v>45</v>
      </c>
      <c r="F26" s="4" t="s">
        <v>32</v>
      </c>
      <c r="G26" s="4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ht="15.75" customHeight="1" spans="1:10">
      <c r="A27" s="5" t="s">
        <v>98</v>
      </c>
      <c r="B27" s="5" t="s">
        <v>82</v>
      </c>
      <c r="C27" s="5" t="s">
        <v>99</v>
      </c>
      <c r="D27" s="5">
        <v>130</v>
      </c>
      <c r="E27" s="5">
        <v>25</v>
      </c>
      <c r="F27" s="5" t="s">
        <v>36</v>
      </c>
      <c r="G27" s="4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ht="15.75" customHeight="1" spans="1:10">
      <c r="A28" s="4" t="s">
        <v>100</v>
      </c>
      <c r="B28" s="4" t="s">
        <v>55</v>
      </c>
      <c r="C28" s="4" t="s">
        <v>101</v>
      </c>
      <c r="D28" s="4">
        <v>400</v>
      </c>
      <c r="E28" s="4">
        <v>40</v>
      </c>
      <c r="F28" s="4" t="s">
        <v>40</v>
      </c>
      <c r="G28" s="4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ht="15.75" customHeight="1" spans="1:10">
      <c r="A29" s="5" t="s">
        <v>71</v>
      </c>
      <c r="B29" s="5" t="s">
        <v>49</v>
      </c>
      <c r="C29" s="5" t="s">
        <v>72</v>
      </c>
      <c r="D29" s="5">
        <v>230</v>
      </c>
      <c r="E29" s="5">
        <v>20</v>
      </c>
      <c r="F29" s="5" t="s">
        <v>32</v>
      </c>
      <c r="G29" s="4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ht="15.75" customHeight="1" spans="1:10">
      <c r="A30" s="4" t="s">
        <v>102</v>
      </c>
      <c r="B30" s="4" t="s">
        <v>103</v>
      </c>
      <c r="C30" s="4" t="s">
        <v>104</v>
      </c>
      <c r="D30" s="4">
        <v>60</v>
      </c>
      <c r="E30" s="4">
        <v>30</v>
      </c>
      <c r="F30" s="4" t="s">
        <v>36</v>
      </c>
      <c r="G30" s="4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ht="15.75" customHeight="1" spans="1:10">
      <c r="A31" s="5" t="s">
        <v>105</v>
      </c>
      <c r="B31" s="5" t="s">
        <v>106</v>
      </c>
      <c r="C31" s="5" t="s">
        <v>107</v>
      </c>
      <c r="D31" s="5">
        <v>40</v>
      </c>
      <c r="E31" s="5">
        <v>10</v>
      </c>
      <c r="F31" s="5" t="s">
        <v>40</v>
      </c>
      <c r="G31" s="4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ht="15.75" customHeight="1" spans="1:10">
      <c r="A32" s="4" t="s">
        <v>108</v>
      </c>
      <c r="B32" s="4" t="s">
        <v>94</v>
      </c>
      <c r="C32" s="4" t="s">
        <v>109</v>
      </c>
      <c r="D32" s="4">
        <v>130</v>
      </c>
      <c r="E32" s="4">
        <v>5</v>
      </c>
      <c r="F32" s="4" t="s">
        <v>32</v>
      </c>
      <c r="G32" s="4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ht="15.75" customHeight="1" spans="1:10">
      <c r="A33" s="5" t="s">
        <v>110</v>
      </c>
      <c r="B33" s="5" t="s">
        <v>111</v>
      </c>
      <c r="C33" s="5" t="s">
        <v>112</v>
      </c>
      <c r="D33" s="5">
        <v>50</v>
      </c>
      <c r="E33" s="5">
        <v>50</v>
      </c>
      <c r="F33" s="5" t="s">
        <v>36</v>
      </c>
      <c r="G33" s="4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ht="15.75" customHeight="1" spans="1:10">
      <c r="A34" s="4" t="s">
        <v>63</v>
      </c>
      <c r="B34" s="4" t="s">
        <v>30</v>
      </c>
      <c r="C34" s="4" t="s">
        <v>64</v>
      </c>
      <c r="D34" s="4">
        <v>950</v>
      </c>
      <c r="E34" s="4">
        <v>25</v>
      </c>
      <c r="F34" s="4" t="s">
        <v>32</v>
      </c>
      <c r="G34" s="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ht="15.75" customHeight="1" spans="1:10">
      <c r="A35" s="5" t="s">
        <v>113</v>
      </c>
      <c r="B35" s="5" t="s">
        <v>114</v>
      </c>
      <c r="C35" s="5" t="s">
        <v>115</v>
      </c>
      <c r="D35" s="5">
        <v>100</v>
      </c>
      <c r="E35" s="5">
        <v>20</v>
      </c>
      <c r="F35" s="5" t="s">
        <v>76</v>
      </c>
      <c r="G35" s="4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ht="15.75" customHeight="1"/>
    <row r="37" ht="15.75" customHeight="1"/>
    <row r="38" ht="15.75" customHeight="1"/>
    <row r="39" ht="15.75" customHeight="1"/>
    <row r="40" ht="15.75" customHeight="1" spans="2:6">
      <c r="B40" s="6" t="s">
        <v>116</v>
      </c>
      <c r="C40" s="7">
        <f>SUMIF(F2:F35,"Electronics",D2:D35)</f>
        <v>8050</v>
      </c>
      <c r="E40" t="s">
        <v>117</v>
      </c>
      <c r="F40" t="s">
        <v>118</v>
      </c>
    </row>
    <row r="41" ht="15.75" customHeight="1" spans="2:6">
      <c r="B41" s="6" t="s">
        <v>119</v>
      </c>
      <c r="C41" s="7">
        <f>COUNTIF(D2:D35,"&lt;100")</f>
        <v>11</v>
      </c>
      <c r="E41" s="8" t="s">
        <v>120</v>
      </c>
      <c r="F41" s="9">
        <f>SUM(D2:D35)</f>
        <v>10100</v>
      </c>
    </row>
    <row r="42" ht="15.75" customHeight="1" spans="5:6">
      <c r="E42" s="8" t="s">
        <v>121</v>
      </c>
      <c r="F42">
        <f>AVERAGE(D2:D35)</f>
        <v>297.058823529412</v>
      </c>
    </row>
    <row r="43" ht="15.75" customHeight="1" spans="5:6">
      <c r="E43" s="8" t="s">
        <v>122</v>
      </c>
      <c r="F43">
        <f>COUNTA(D2:D35)</f>
        <v>34</v>
      </c>
    </row>
    <row r="44" ht="15.75" customHeight="1" spans="5:6">
      <c r="E44" s="8" t="s">
        <v>123</v>
      </c>
      <c r="F44">
        <f>MIN(D2:D35)</f>
        <v>30</v>
      </c>
    </row>
    <row r="45" ht="15.75" customHeight="1" spans="5:6">
      <c r="E45" s="8" t="s">
        <v>124</v>
      </c>
      <c r="F45">
        <f>MAX(D2:D35)</f>
        <v>1000</v>
      </c>
    </row>
    <row r="46" ht="15.75" customHeight="1" spans="5:5">
      <c r="E46" s="10" t="s">
        <v>125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jayabala murugan</cp:lastModifiedBy>
  <dcterms:created xsi:type="dcterms:W3CDTF">2025-10-17T09:49:00Z</dcterms:created>
  <dcterms:modified xsi:type="dcterms:W3CDTF">2025-10-17T11:19:40Z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C34CF989240445A89940CC7EFC1785E6_13</vt:lpwstr>
  </property>
  <property fmtid="{D5CDD505-2E9C-101B-9397-08002B2CF9AE}" pid="3" name="KSOProductBuildVer">
    <vt:lpwstr>1033-12.2.0.23131</vt:lpwstr>
  </property>
</Properties>
</file>